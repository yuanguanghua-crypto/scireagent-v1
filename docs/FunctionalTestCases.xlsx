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缺陷记录" sheetId="3" state="visible" r:id="rId3"/>
    <sheet xmlns:r="http://schemas.openxmlformats.org/officeDocument/2006/relationships" name="汇总" sheetId="4" state="visible" r:id="rId4"/>
  </sheets>
  <definedNames>
    <definedName name="_xlnm._FilterDatabase" localSheetId="1" hidden="1">'测试用例'!$A$1:$L$47</definedName>
    <definedName name="_xlnm._FilterDatabase" localSheetId="2" hidden="1">'缺陷记录'!$A$1:$Q$200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766E"/>
      <sz val="14"/>
    </font>
    <font>
      <color rgb="00334155"/>
      <sz val="10"/>
    </font>
    <font>
      <b val="1"/>
      <color rgb="000F172A"/>
      <sz val="11"/>
    </font>
    <font>
      <b val="1"/>
      <color rgb="00FFFFFF"/>
      <sz val="11"/>
    </font>
    <font>
      <sz val="10"/>
    </font>
    <font>
      <i val="1"/>
      <color rgb="0064748B"/>
      <sz val="10"/>
    </font>
    <font>
      <b val="1"/>
      <sz val="10"/>
    </font>
    <font>
      <b val="1"/>
      <color rgb="000F766E"/>
      <sz val="11"/>
    </font>
    <font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dxfs count="9">
    <dxf>
      <font>
        <b val="1"/>
        <color rgb="00991B1B"/>
      </font>
      <fill>
        <patternFill patternType="solid">
          <fgColor rgb="00FECACA"/>
        </patternFill>
      </fill>
    </dxf>
    <dxf>
      <font>
        <b val="1"/>
        <color rgb="00166534"/>
      </font>
      <fill>
        <patternFill patternType="solid">
          <fgColor rgb="00BBF7D0"/>
        </patternFill>
      </fill>
    </dxf>
    <dxf>
      <font>
        <b val="1"/>
        <color rgb="009A3412"/>
      </font>
      <fill>
        <patternFill patternType="solid">
          <fgColor rgb="00FED7AA"/>
        </patternFill>
      </fill>
    </dxf>
    <dxf>
      <font>
        <color rgb="00475569"/>
      </font>
      <fill>
        <patternFill patternType="solid">
          <fgColor rgb="00E2E8F0"/>
        </patternFill>
      </fill>
    </dxf>
    <dxf>
      <font>
        <b val="1"/>
        <color rgb="00FFFFFF"/>
      </font>
      <fill>
        <patternFill patternType="solid">
          <fgColor rgb="007F1D1D"/>
        </patternFill>
      </fill>
    </dxf>
    <dxf>
      <font>
        <b val="1"/>
        <color rgb="007F1D1D"/>
      </font>
      <fill>
        <patternFill patternType="solid">
          <fgColor rgb="00FCA5A5"/>
        </patternFill>
      </fill>
    </dxf>
    <dxf>
      <font>
        <color rgb="009A3412"/>
      </font>
      <fill>
        <patternFill patternType="solid">
          <fgColor rgb="00FED7AA"/>
        </patternFill>
      </fill>
    </dxf>
    <dxf>
      <font>
        <color rgb="00854D0E"/>
      </font>
      <fill>
        <patternFill patternType="solid">
          <fgColor rgb="00FEF9C3"/>
        </patternFill>
      </fill>
    </dxf>
    <dxf>
      <font>
        <color rgb="00166534"/>
      </font>
      <fill>
        <patternFill patternType="solid">
          <fgColor rgb="00BBF7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B1:B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SciReAgent 功能测试 · 用例与缺陷跟踪表</t>
        </is>
      </c>
    </row>
    <row r="2">
      <c r="B2" s="2" t="inlineStr">
        <is>
          <t>项目代号 SciReAgent（科研试剂知识图谱与采购平台，站点标题 LabPro Global）。本工作簿供完全不了解项目的测试人员使用，逐条完成全站功能测试，并在发现异常时直接记录、汇总、交付开发。</t>
        </is>
      </c>
    </row>
    <row r="3">
      <c r="B3" s="3" t="inlineStr">
        <is>
          <t>一、工作簿包含 4 个工作表</t>
        </is>
      </c>
    </row>
    <row r="4">
      <c r="B4" s="2" t="inlineStr">
        <is>
          <t>• 测试用例：全部功能点拆成的可执行用例，带「测试状态」下拉可勾选（通过/失败/阻塞/不适用/未测）。</t>
        </is>
      </c>
    </row>
    <row r="5">
      <c r="B5" s="2" t="inlineStr">
        <is>
          <t>• 缺陷记录：每发现一个异常，在此新增一行。字段按「开发可直接定位」设计。</t>
        </is>
      </c>
    </row>
    <row r="6">
      <c r="B6" s="2" t="inlineStr">
        <is>
          <t>• 汇总：自动统计用例执行结果与缺陷分布（填表即实时更新）。</t>
        </is>
      </c>
    </row>
    <row r="7">
      <c r="B7" s="2" t="inlineStr">
        <is>
          <t>• 使用说明：本表。</t>
        </is>
      </c>
    </row>
    <row r="8">
      <c r="B8" s="3" t="inlineStr">
        <is>
          <t>二、怎么测</t>
        </is>
      </c>
    </row>
    <row r="9">
      <c r="B9" s="2" t="inlineStr">
        <is>
          <t>1. 按《功能测试手册》第1章启动环境：后端必须在 8000 端口，前端 npm run dev 记下实际地址（如 http://localhost:5173）。</t>
        </is>
      </c>
    </row>
    <row r="10">
      <c r="B10" s="2" t="inlineStr">
        <is>
          <t>2. 用测试账号登录：客户 e2e_customer / E2ePass123! ；管理员 admin / admin123 ；游客无需登录。</t>
        </is>
      </c>
    </row>
    <row r="11">
      <c r="B11" s="2" t="inlineStr">
        <is>
          <t>3. 打开「测试用例」表，从第2行开始，按 页面/路由 在浏览器逐条操作；对照「预期结果」判断。</t>
        </is>
      </c>
    </row>
    <row r="12">
      <c r="B12" s="2" t="inlineStr">
        <is>
          <t>4. 在「测试状态」列用下拉选择：通过 / 失败 / 阻塞 / 不适用 / 未测（默认未测）。失败或阻塞时，在「实际结果」列简述现象，并到「缺陷记录」建一行。</t>
        </is>
      </c>
    </row>
    <row r="13">
      <c r="B13" s="2" t="inlineStr">
        <is>
          <t>5. 全部测完后看「汇总」表，即可掌握通过率与缺陷清单。</t>
        </is>
      </c>
    </row>
    <row r="14">
      <c r="B14" s="3" t="inlineStr">
        <is>
          <t>三、状态图例</t>
        </is>
      </c>
    </row>
    <row r="15">
      <c r="B15" s="2" t="inlineStr">
        <is>
          <t>通过=符合预期；失败=明显不符预期(非环境/已知限制)；阻塞=被前置缺陷卡住无法测；不适用=本环境不可测(如后端未上线)；未测=尚未执行。</t>
        </is>
      </c>
    </row>
    <row r="16">
      <c r="B16" s="3" t="inlineStr">
        <is>
          <t>四、严重级别（缺陷记录用）</t>
        </is>
      </c>
    </row>
    <row r="17">
      <c r="B17" s="2" t="inlineStr">
        <is>
          <t>致命=核心功能完全不可用/数据丢失；严重=主要功能受阻；一般=次要功能异常；轻微=UI/文案小问题；建议=优化建议。</t>
        </is>
      </c>
    </row>
    <row r="18">
      <c r="B18" s="3" t="inlineStr">
        <is>
          <t>五、如何记录并交给开发（关键）</t>
        </is>
      </c>
    </row>
    <row r="19">
      <c r="B19" s="2" t="inlineStr">
        <is>
          <t>1. 每个异常在「缺陷记录」新增一行：填 关联用例ID、模块/页面、归属(前端/后端/未知)、严重级别、缺陷标题、复现步骤、实际结果、期望结果、环境、证据(截图路径或控制台报错)、是否复现。</t>
        </is>
      </c>
    </row>
    <row r="20">
      <c r="B20" s="2" t="inlineStr">
        <is>
          <t>2. 归属判断（无需懂代码）：点击后页面报错/样式错/交互无反应→选「前端」；提交后提示服务端错误/数据不对/列表缺数据→选「后端」；不确定选「未知」。</t>
        </is>
      </c>
    </row>
    <row r="21">
      <c r="B21" s="2" t="inlineStr">
        <is>
          <t>3. 交付：在「缺陷记录」筛选 状态=新建，即为待开发处理清单；点「文件→另存为」，类型选 CSV，即可把缺陷清单直接发给开发。开发据此定位修复。</t>
        </is>
      </c>
    </row>
    <row r="22">
      <c r="B22" s="2" t="inlineStr">
        <is>
          <t>4. 修复后开发把该行 状态 改为 已修复，测试人员回归后在「测试用例」把对应用例改回 通过 并复核。</t>
        </is>
      </c>
    </row>
    <row r="23">
      <c r="B23" s="3" t="inlineStr">
        <is>
          <t>六、已知限制（遇到下列现象记「不适用」或「已知限制」，不要当 bug）</t>
        </is>
      </c>
    </row>
    <row r="24">
      <c r="B24" s="2" t="inlineStr">
        <is>
          <t>• 地址簿保存(/po/addresses)：后端接口未上线，保存会报错。</t>
        </is>
      </c>
    </row>
    <row r="25">
      <c r="B25" s="2" t="inlineStr">
        <is>
          <t>• 遗留编辑页(products/ProductEditPage 等)：导航不可直达，产品管理统一测 /workspace/products。</t>
        </is>
      </c>
    </row>
    <row r="26">
      <c r="B26" s="2" t="inlineStr">
        <is>
          <t>• AI 工具按钮(enrich/validate/recommend)：调用外部 AI，可能慢/超时，属环境依赖。</t>
        </is>
      </c>
    </row>
    <row r="27">
      <c r="B27" s="2" t="inlineStr">
        <is>
          <t>• PO 八态/订单旧态需特定种子数据才能全展示，遇空态记录即可。</t>
        </is>
      </c>
    </row>
    <row r="28">
      <c r="B28" s="3" t="inlineStr">
        <is>
          <t>七、环境信息填写示例（缺陷「环境」列）</t>
        </is>
      </c>
    </row>
    <row r="29">
      <c r="B29" s="2" t="inlineStr">
        <is>
          <t>前端地址 http://localhost:5173 ；后端 127.0.0.1:8000 运行中 ；浏览器 Chrome 126 ；账号 e2e_customer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L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7" customWidth="1" min="4" max="4"/>
    <col width="12" customWidth="1" min="5" max="5"/>
    <col width="26" customWidth="1" min="6" max="6"/>
    <col width="18" customWidth="1" min="7" max="7"/>
    <col width="46" customWidth="1" min="8" max="8"/>
    <col width="46" customWidth="1" min="9" max="9"/>
    <col width="30" customWidth="1" min="10" max="10"/>
    <col width="11" customWidth="1" min="11" max="11"/>
    <col width="13" customWidth="1" min="12" max="12"/>
  </cols>
  <sheetData>
    <row r="1">
      <c r="A1" s="4" t="inlineStr">
        <is>
          <t>用例ID</t>
        </is>
      </c>
      <c r="B1" s="4" t="inlineStr">
        <is>
          <t>模块</t>
        </is>
      </c>
      <c r="C1" s="4" t="inlineStr">
        <is>
          <t>功能点</t>
        </is>
      </c>
      <c r="D1" s="4" t="inlineStr">
        <is>
          <t>优先级</t>
        </is>
      </c>
      <c r="E1" s="4" t="inlineStr">
        <is>
          <t>角色</t>
        </is>
      </c>
      <c r="F1" s="4" t="inlineStr">
        <is>
          <t>页面/路由</t>
        </is>
      </c>
      <c r="G1" s="4" t="inlineStr">
        <is>
          <t>前置条件</t>
        </is>
      </c>
      <c r="H1" s="4" t="inlineStr">
        <is>
          <t>操作步骤</t>
        </is>
      </c>
      <c r="I1" s="4" t="inlineStr">
        <is>
          <t>预期结果</t>
        </is>
      </c>
      <c r="J1" s="4" t="inlineStr">
        <is>
          <t>实际结果(测试填写)</t>
        </is>
      </c>
      <c r="K1" s="4" t="inlineStr">
        <is>
          <t>测试状态</t>
        </is>
      </c>
      <c r="L1" s="4" t="inlineStr">
        <is>
          <t>关联缺陷ID</t>
        </is>
      </c>
    </row>
    <row r="2">
      <c r="A2" s="5" t="inlineStr">
        <is>
          <t>A-01</t>
        </is>
      </c>
      <c r="B2" s="5" t="inlineStr">
        <is>
          <t>公开浏览与导航</t>
        </is>
      </c>
      <c r="C2" s="5" t="inlineStr">
        <is>
          <t>首页加载与导航</t>
        </is>
      </c>
      <c r="D2" s="6" t="inlineStr">
        <is>
          <t>P0</t>
        </is>
      </c>
      <c r="E2" s="5" t="inlineStr">
        <is>
          <t>游客</t>
        </is>
      </c>
      <c r="F2" s="5" t="inlineStr">
        <is>
          <t>/</t>
        </is>
      </c>
      <c r="G2" s="5" t="inlineStr">
        <is>
          <t>游客</t>
        </is>
      </c>
      <c r="H2" s="5" t="inlineStr">
        <is>
          <t>1. 打开首页
2. 查看顶部导航栏(分类标签/Logo/Sign In/购物车)
3. 点击某分类标签(如 Products/Applications)
4. 在 Hero 搜索框输入关键词回车</t>
        </is>
      </c>
      <c r="I2" s="5" t="inlineStr">
        <is>
          <t>首页正常显示无白屏无报错；导航元素可见；点分类跳对应列表页；搜索回车跳 /search 并显示结果</t>
        </is>
      </c>
      <c r="K2" s="7" t="n"/>
      <c r="L2" s="7" t="n"/>
    </row>
    <row r="3">
      <c r="A3" s="8" t="inlineStr">
        <is>
          <t>A-02</t>
        </is>
      </c>
      <c r="B3" s="8" t="inlineStr">
        <is>
          <t>公开浏览与导航</t>
        </is>
      </c>
      <c r="C3" s="8" t="inlineStr">
        <is>
          <t>全局搜索</t>
        </is>
      </c>
      <c r="D3" s="9" t="inlineStr">
        <is>
          <t>P0</t>
        </is>
      </c>
      <c r="E3" s="8" t="inlineStr">
        <is>
          <t>游客</t>
        </is>
      </c>
      <c r="F3" s="8" t="inlineStr">
        <is>
          <t>/search</t>
        </is>
      </c>
      <c r="G3" s="8" t="inlineStr">
        <is>
          <t>游客</t>
        </is>
      </c>
      <c r="H3" s="8" t="inlineStr">
        <is>
          <t>1. 任意页顶部搜索框输入已知词(如 buffer 或产品名片段)回车
2. 查看结果列表
3. 点击某条结果</t>
        </is>
      </c>
      <c r="I3" s="8" t="inlineStr">
        <is>
          <t>结果列表展示匹配项；点击跳对应详情页；空关键词显示空态或提示，不崩溃</t>
        </is>
      </c>
      <c r="K3" s="7" t="n"/>
      <c r="L3" s="7" t="n"/>
    </row>
    <row r="4">
      <c r="A4" s="5" t="inlineStr">
        <is>
          <t>A-03</t>
        </is>
      </c>
      <c r="B4" s="5" t="inlineStr">
        <is>
          <t>公开浏览与导航</t>
        </is>
      </c>
      <c r="C4" s="5" t="inlineStr">
        <is>
          <t>应用列表与详情</t>
        </is>
      </c>
      <c r="D4" s="6" t="inlineStr">
        <is>
          <t>P0</t>
        </is>
      </c>
      <c r="E4" s="5" t="inlineStr">
        <is>
          <t>游客</t>
        </is>
      </c>
      <c r="F4" s="5" t="inlineStr">
        <is>
          <t>/applications 及 /applications/:id</t>
        </is>
      </c>
      <c r="G4" s="5" t="inlineStr">
        <is>
          <t>游客</t>
        </is>
      </c>
      <c r="H4" s="5" t="inlineStr">
        <is>
          <t>1. 打开 /applications，使用搜索框过滤、翻页
2. 点击某条进入详情
3. 详情页点击关联的方法/产品链接</t>
        </is>
      </c>
      <c r="I4" s="5" t="inlineStr">
        <is>
          <t>列表可搜索、可翻页；详情展示字段；关联链接可跳转</t>
        </is>
      </c>
      <c r="K4" s="7" t="n"/>
      <c r="L4" s="7" t="n"/>
    </row>
    <row r="5">
      <c r="A5" s="8" t="inlineStr">
        <is>
          <t>A-04</t>
        </is>
      </c>
      <c r="B5" s="8" t="inlineStr">
        <is>
          <t>公开浏览与导航</t>
        </is>
      </c>
      <c r="C5" s="8" t="inlineStr">
        <is>
          <t>方法列表与详情</t>
        </is>
      </c>
      <c r="D5" s="9" t="inlineStr">
        <is>
          <t>P0</t>
        </is>
      </c>
      <c r="E5" s="8" t="inlineStr">
        <is>
          <t>游客</t>
        </is>
      </c>
      <c r="F5" s="8" t="inlineStr">
        <is>
          <t>/methods 及 /methods/:id</t>
        </is>
      </c>
      <c r="G5" s="8" t="inlineStr">
        <is>
          <t>游客</t>
        </is>
      </c>
      <c r="H5" s="8" t="inlineStr">
        <is>
          <t>1. 打开 /methods，使用分类 chips 过滤、搜索、翻页
2. 进入详情，点击关联协议/产品链接</t>
        </is>
      </c>
      <c r="I5" s="8" t="inlineStr">
        <is>
          <t>分类 chips 生效；详情可跳关联协议/产品；列表搜索分页正常</t>
        </is>
      </c>
      <c r="K5" s="7" t="n"/>
      <c r="L5" s="7" t="n"/>
    </row>
    <row r="6">
      <c r="A6" s="5" t="inlineStr">
        <is>
          <t>A-05</t>
        </is>
      </c>
      <c r="B6" s="5" t="inlineStr">
        <is>
          <t>公开浏览与导航</t>
        </is>
      </c>
      <c r="C6" s="5" t="inlineStr">
        <is>
          <t>协议列表与详情</t>
        </is>
      </c>
      <c r="D6" s="6" t="inlineStr">
        <is>
          <t>P0</t>
        </is>
      </c>
      <c r="E6" s="5" t="inlineStr">
        <is>
          <t>游客</t>
        </is>
      </c>
      <c r="F6" s="5" t="inlineStr">
        <is>
          <t>/protocols 及 /protocols/:id</t>
        </is>
      </c>
      <c r="G6" s="5" t="inlineStr">
        <is>
          <t>游客</t>
        </is>
      </c>
      <c r="H6" s="5" t="inlineStr">
        <is>
          <t>1. 打开 /protocols，用过滤 chips + 搜索 + 翻页
2. 进详情，点击步骤表列标题排序</t>
        </is>
      </c>
      <c r="I6" s="5" t="inlineStr">
        <is>
          <t>列表过滤/搜索/分页正常；详情步骤表列可点击排序，顺序随点击切换</t>
        </is>
      </c>
      <c r="K6" s="7" t="n"/>
      <c r="L6" s="7" t="n"/>
    </row>
    <row r="7">
      <c r="A7" s="8" t="inlineStr">
        <is>
          <t>A-06</t>
        </is>
      </c>
      <c r="B7" s="8" t="inlineStr">
        <is>
          <t>公开浏览与导航</t>
        </is>
      </c>
      <c r="C7" s="8" t="inlineStr">
        <is>
          <t>产品列表与详情</t>
        </is>
      </c>
      <c r="D7" s="9" t="inlineStr">
        <is>
          <t>P0</t>
        </is>
      </c>
      <c r="E7" s="8" t="inlineStr">
        <is>
          <t>游客</t>
        </is>
      </c>
      <c r="F7" s="8" t="inlineStr">
        <is>
          <t>/products 及 /products/:id</t>
        </is>
      </c>
      <c r="G7" s="8" t="inlineStr">
        <is>
          <t>游客</t>
        </is>
      </c>
      <c r="H7" s="8" t="inlineStr">
        <is>
          <t>1. 打开 /products，用分类 pills、搜索、翻页
2. 进详情
3. 调整数量输入框数值
4. 点击 Add to Cart</t>
        </is>
      </c>
      <c r="I7" s="8" t="inlineStr">
        <is>
          <t>列表分类/搜索/分页正常；详情显示产品信息/SKU行/文档/相关标签；加购后角标+数量、弹成功提示条、点购物车跳 /cart；同品多次加购角标累加</t>
        </is>
      </c>
      <c r="K7" s="7" t="n"/>
      <c r="L7" s="7" t="n"/>
    </row>
    <row r="8">
      <c r="A8" s="5" t="inlineStr">
        <is>
          <t>A-07</t>
        </is>
      </c>
      <c r="B8" s="5" t="inlineStr">
        <is>
          <t>公开浏览与导航</t>
        </is>
      </c>
      <c r="C8" s="5" t="inlineStr">
        <is>
          <t>研究目标列表与详情</t>
        </is>
      </c>
      <c r="D8" s="6" t="inlineStr">
        <is>
          <t>P0</t>
        </is>
      </c>
      <c r="E8" s="5" t="inlineStr">
        <is>
          <t>游客</t>
        </is>
      </c>
      <c r="F8" s="5" t="inlineStr">
        <is>
          <t>/research-goals 及 /research-goals/:id</t>
        </is>
      </c>
      <c r="G8" s="5" t="inlineStr">
        <is>
          <t>游客</t>
        </is>
      </c>
      <c r="H8" s="5" t="inlineStr">
        <is>
          <t>1. 打开 /research-goals，用状态下拉 + 搜索过滤、翻页
2. 进入详情，点击关联链接</t>
        </is>
      </c>
      <c r="I8" s="5" t="inlineStr">
        <is>
          <t>过滤/搜索/分页正常；详情可跳关联</t>
        </is>
      </c>
      <c r="K8" s="7" t="n"/>
      <c r="L8" s="7" t="n"/>
    </row>
    <row r="9">
      <c r="A9" s="8" t="inlineStr">
        <is>
          <t>A-08</t>
        </is>
      </c>
      <c r="B9" s="8" t="inlineStr">
        <is>
          <t>公开浏览与导航</t>
        </is>
      </c>
      <c r="C9" s="8" t="inlineStr">
        <is>
          <t>404 页面</t>
        </is>
      </c>
      <c r="D9" s="9" t="inlineStr">
        <is>
          <t>P0</t>
        </is>
      </c>
      <c r="E9" s="8" t="inlineStr">
        <is>
          <t>游客</t>
        </is>
      </c>
      <c r="F9" s="8" t="inlineStr">
        <is>
          <t>/不存在的路径</t>
        </is>
      </c>
      <c r="G9" s="8" t="inlineStr">
        <is>
          <t>游客</t>
        </is>
      </c>
      <c r="H9" s="8" t="inlineStr">
        <is>
          <t>地址栏输入不存在路径回车</t>
        </is>
      </c>
      <c r="I9" s="8" t="inlineStr">
        <is>
          <t>显示 404 提示页，有返回首页按钮；点击回到 /</t>
        </is>
      </c>
      <c r="K9" s="7" t="n"/>
      <c r="L9" s="7" t="n"/>
    </row>
    <row r="10">
      <c r="A10" s="5" t="inlineStr">
        <is>
          <t>B-01</t>
        </is>
      </c>
      <c r="B10" s="5" t="inlineStr">
        <is>
          <t>账户与认证</t>
        </is>
      </c>
      <c r="C10" s="5" t="inlineStr">
        <is>
          <t>注册(多步表单)</t>
        </is>
      </c>
      <c r="D10" s="6" t="inlineStr">
        <is>
          <t>P0</t>
        </is>
      </c>
      <c r="E10" s="5" t="inlineStr">
        <is>
          <t>游客</t>
        </is>
      </c>
      <c r="F10" s="5" t="inlineStr">
        <is>
          <t>/register</t>
        </is>
      </c>
      <c r="G10" s="5" t="inlineStr">
        <is>
          <t>游客</t>
        </is>
      </c>
      <c r="H10" s="5" t="inlineStr">
        <is>
          <t>1. 打开 /register，按 3 步填写必填(邮箱/密码/组织等约12项)
2. 每步点下一步，必填留空点提交看校验
3. 最后一步提交</t>
        </is>
      </c>
      <c r="I10" s="5" t="inlineStr">
        <is>
          <t>必填项为空给出错误提示不能前进；提交成功显示成功横幅；账户可凭该账号登录</t>
        </is>
      </c>
      <c r="K10" s="7" t="n"/>
      <c r="L10" s="7" t="n"/>
    </row>
    <row r="11">
      <c r="A11" s="8" t="inlineStr">
        <is>
          <t>B-02</t>
        </is>
      </c>
      <c r="B11" s="8" t="inlineStr">
        <is>
          <t>账户与认证</t>
        </is>
      </c>
      <c r="C11" s="8" t="inlineStr">
        <is>
          <t>登录</t>
        </is>
      </c>
      <c r="D11" s="9" t="inlineStr">
        <is>
          <t>P0</t>
        </is>
      </c>
      <c r="E11" s="8" t="inlineStr">
        <is>
          <t>游客</t>
        </is>
      </c>
      <c r="F11" s="8" t="inlineStr">
        <is>
          <t>/login</t>
        </is>
      </c>
      <c r="G11" s="8" t="inlineStr">
        <is>
          <t>游客</t>
        </is>
      </c>
      <c r="H11" s="8" t="inlineStr">
        <is>
          <t>1. 用 e2e_customer / E2ePass123! 登录
2. 用错误密码登录一次</t>
        </is>
      </c>
      <c r="I11" s="8" t="inlineStr">
        <is>
          <t>正确凭据进入首页或 redirect 回跳目标页，右上显示用户名/头像+购物车；错误密码显示错误条幅仍留登录页；已登录再访 /login 被自动跳走</t>
        </is>
      </c>
      <c r="K11" s="7" t="n"/>
      <c r="L11" s="7" t="n"/>
    </row>
    <row r="12">
      <c r="A12" s="5" t="inlineStr">
        <is>
          <t>B-03</t>
        </is>
      </c>
      <c r="B12" s="5" t="inlineStr">
        <is>
          <t>账户与认证</t>
        </is>
      </c>
      <c r="C12" s="5" t="inlineStr">
        <is>
          <t>登出</t>
        </is>
      </c>
      <c r="D12" s="6" t="inlineStr">
        <is>
          <t>P0</t>
        </is>
      </c>
      <c r="E12" s="5" t="inlineStr">
        <is>
          <t>客户/管理员</t>
        </is>
      </c>
      <c r="F12" s="5" t="inlineStr">
        <is>
          <t>任意已登录页</t>
        </is>
      </c>
      <c r="G12" s="5" t="inlineStr">
        <is>
          <t>客户或管理员已登录</t>
        </is>
      </c>
      <c r="H12" s="5" t="inlineStr">
        <is>
          <t>点击右上角用户菜单中的登出 / Sign out</t>
        </is>
      </c>
      <c r="I12" s="5" t="inlineStr">
        <is>
          <t>回到游客态(导航变 Sign In)；再访需登录页被拦回 /login</t>
        </is>
      </c>
      <c r="K12" s="7" t="n"/>
      <c r="L12" s="7" t="n"/>
    </row>
    <row r="13">
      <c r="A13" s="8" t="inlineStr">
        <is>
          <t>B-04</t>
        </is>
      </c>
      <c r="B13" s="8" t="inlineStr">
        <is>
          <t>账户与认证</t>
        </is>
      </c>
      <c r="C13" s="8" t="inlineStr">
        <is>
          <t>已登录访问 guest 页重定向</t>
        </is>
      </c>
      <c r="D13" s="9" t="inlineStr">
        <is>
          <t>P1</t>
        </is>
      </c>
      <c r="E13" s="8" t="inlineStr">
        <is>
          <t>客户</t>
        </is>
      </c>
      <c r="F13" s="8" t="inlineStr">
        <is>
          <t>/login, /register</t>
        </is>
      </c>
      <c r="G13" s="8" t="inlineStr">
        <is>
          <t>客户已登录</t>
        </is>
      </c>
      <c r="H13" s="8" t="inlineStr">
        <is>
          <t>客户登录后地址栏直接打开 /login 和 /register</t>
        </is>
      </c>
      <c r="I13" s="8" t="inlineStr">
        <is>
          <t>被自动跳回首页 /，不显示登录表单(避免回环)</t>
        </is>
      </c>
      <c r="K13" s="7" t="n"/>
      <c r="L13" s="7" t="n"/>
    </row>
    <row r="14">
      <c r="A14" s="5" t="inlineStr">
        <is>
          <t>B-05</t>
        </is>
      </c>
      <c r="B14" s="5" t="inlineStr">
        <is>
          <t>账户与认证</t>
        </is>
      </c>
      <c r="C14" s="5" t="inlineStr">
        <is>
          <t>账户设置</t>
        </is>
      </c>
      <c r="D14" s="6" t="inlineStr">
        <is>
          <t>P1</t>
        </is>
      </c>
      <c r="E14" s="5" t="inlineStr">
        <is>
          <t>已登录</t>
        </is>
      </c>
      <c r="F14" s="5" t="inlineStr">
        <is>
          <t>/settings</t>
        </is>
      </c>
      <c r="G14" s="5" t="inlineStr">
        <is>
          <t>已登录(任意角色)</t>
        </is>
      </c>
      <c r="H14" s="5" t="inlineStr">
        <is>
          <t>修改部分字段(如昵称/联系方式)，点保存</t>
        </is>
      </c>
      <c r="I14" s="5" t="inlineStr">
        <is>
          <t>显示保存成功横幅；刷新后修改仍生效(部分字段只读依界面)</t>
        </is>
      </c>
      <c r="K14" s="7" t="n"/>
      <c r="L14" s="7" t="n"/>
    </row>
    <row r="15">
      <c r="A15" s="8" t="inlineStr">
        <is>
          <t>C-01</t>
        </is>
      </c>
      <c r="B15" s="8" t="inlineStr">
        <is>
          <t>购物车/结算/我的订单</t>
        </is>
      </c>
      <c r="C15" s="8" t="inlineStr">
        <is>
          <t>购物车查看与改数量</t>
        </is>
      </c>
      <c r="D15" s="9" t="inlineStr">
        <is>
          <t>P1</t>
        </is>
      </c>
      <c r="E15" s="8" t="inlineStr">
        <is>
          <t>已登录客户</t>
        </is>
      </c>
      <c r="F15" s="8" t="inlineStr">
        <is>
          <t>/cart</t>
        </is>
      </c>
      <c r="G15" s="8" t="inlineStr">
        <is>
          <t>已加购≥1件(先按 A-06)</t>
        </is>
      </c>
      <c r="H15" s="8" t="inlineStr">
        <is>
          <t>1. 打开 /cart
2. 修改某商品数量，失焦/确认
3. 点删除某商品
4. 观察右上角购物车角标</t>
        </is>
      </c>
      <c r="I15" s="8" t="inlineStr">
        <is>
          <t>数量修改生效、小计更新；删除后商品消失、角标同步减少；删除有成功提示条</t>
        </is>
      </c>
      <c r="K15" s="7" t="n"/>
      <c r="L15" s="7" t="n"/>
    </row>
    <row r="16">
      <c r="A16" s="5" t="inlineStr">
        <is>
          <t>C-02</t>
        </is>
      </c>
      <c r="B16" s="5" t="inlineStr">
        <is>
          <t>购物车/结算/我的订单</t>
        </is>
      </c>
      <c r="C16" s="5" t="inlineStr">
        <is>
          <t>购物车去结算</t>
        </is>
      </c>
      <c r="D16" s="6" t="inlineStr">
        <is>
          <t>P1</t>
        </is>
      </c>
      <c r="E16" s="5" t="inlineStr">
        <is>
          <t>已登录客户</t>
        </is>
      </c>
      <c r="F16" s="5" t="inlineStr">
        <is>
          <t>/cart</t>
        </is>
      </c>
      <c r="G16" s="5" t="inlineStr">
        <is>
          <t>已加购</t>
        </is>
      </c>
      <c r="H16" s="5" t="inlineStr">
        <is>
          <t>点去结算 / Checkout 按钮</t>
        </is>
      </c>
      <c r="I16" s="5" t="inlineStr">
        <is>
          <t>跳转到 /checkout(未登录会被拦到 /login)</t>
        </is>
      </c>
      <c r="K16" s="7" t="n"/>
      <c r="L16" s="7" t="n"/>
    </row>
    <row r="17">
      <c r="A17" s="8" t="inlineStr">
        <is>
          <t>C-03</t>
        </is>
      </c>
      <c r="B17" s="8" t="inlineStr">
        <is>
          <t>购物车/结算/我的订单</t>
        </is>
      </c>
      <c r="C17" s="8" t="inlineStr">
        <is>
          <t>结算下单</t>
        </is>
      </c>
      <c r="D17" s="9" t="inlineStr">
        <is>
          <t>P1</t>
        </is>
      </c>
      <c r="E17" s="8" t="inlineStr">
        <is>
          <t>已登录客户</t>
        </is>
      </c>
      <c r="F17" s="8" t="inlineStr">
        <is>
          <t>/checkout</t>
        </is>
      </c>
      <c r="G17" s="8" t="inlineStr">
        <is>
          <t>已登录客户 + 购物车有商品</t>
        </is>
      </c>
      <c r="H17" s="8" t="inlineStr">
        <is>
          <t>1. 填写收货/账单等约12项，必填留空尝试提交看校验
2. 提交订单</t>
        </is>
      </c>
      <c r="I17" s="8" t="inlineStr">
        <is>
          <t>必填校验生效(留空不能提交有提示)；提交成功生成订单跳订单详情/列表；/orders 出现该新订单</t>
        </is>
      </c>
      <c r="K17" s="7" t="n"/>
      <c r="L17" s="7" t="n"/>
    </row>
    <row r="18">
      <c r="A18" s="5" t="inlineStr">
        <is>
          <t>C-04</t>
        </is>
      </c>
      <c r="B18" s="5" t="inlineStr">
        <is>
          <t>购物车/结算/我的订单</t>
        </is>
      </c>
      <c r="C18" s="5" t="inlineStr">
        <is>
          <t>我的订单列表与详情</t>
        </is>
      </c>
      <c r="D18" s="6" t="inlineStr">
        <is>
          <t>P1</t>
        </is>
      </c>
      <c r="E18" s="5" t="inlineStr">
        <is>
          <t>已登录客户</t>
        </is>
      </c>
      <c r="F18" s="5" t="inlineStr">
        <is>
          <t>/orders 及 /orders/:id</t>
        </is>
      </c>
      <c r="G18" s="5" t="inlineStr">
        <is>
          <t>已登录客户</t>
        </is>
      </c>
      <c r="H18" s="5" t="inlineStr">
        <is>
          <t>1. 打开 /orders，翻页查看
2. 点某订单进详情，查看状态时间线</t>
        </is>
      </c>
      <c r="I18" s="5" t="inlineStr">
        <is>
          <t>列表仅展示当前用户自己的订单；详情展示订单项/状态/时间线；非本人订单不出现</t>
        </is>
      </c>
      <c r="K18" s="7" t="n"/>
      <c r="L18" s="7" t="n"/>
    </row>
    <row r="19">
      <c r="A19" s="8" t="inlineStr">
        <is>
          <t>D-01</t>
        </is>
      </c>
      <c r="B19" s="8" t="inlineStr">
        <is>
          <t>询价申请</t>
        </is>
      </c>
      <c r="C19" s="8" t="inlineStr">
        <is>
          <t>提交询价(匿名也可)</t>
        </is>
      </c>
      <c r="D19" s="9" t="inlineStr">
        <is>
          <t>P1</t>
        </is>
      </c>
      <c r="E19" s="8" t="inlineStr">
        <is>
          <t>游客</t>
        </is>
      </c>
      <c r="F19" s="8" t="inlineStr">
        <is>
          <t>/quote-request</t>
        </is>
      </c>
      <c r="G19" s="8" t="inlineStr">
        <is>
          <t>游客即可</t>
        </is>
      </c>
      <c r="H19" s="8" t="inlineStr">
        <is>
          <t>1. 填写多字段表单(产品/数量/联系方式等约11项)
2. 必填留空提交看校验
3. 正确填写后提交</t>
        </is>
      </c>
      <c r="I19" s="8" t="inlineStr">
        <is>
          <t>必填校验生效；提交后显示成功提示/横幅</t>
        </is>
      </c>
      <c r="K19" s="7" t="n"/>
      <c r="L19" s="7" t="n"/>
    </row>
    <row r="20">
      <c r="A20" s="5" t="inlineStr">
        <is>
          <t>E-01</t>
        </is>
      </c>
      <c r="B20" s="5" t="inlineStr">
        <is>
          <t>PO采购门户(客户侧)</t>
        </is>
      </c>
      <c r="C20" s="5" t="inlineStr">
        <is>
          <t>提交采购单(PO)</t>
        </is>
      </c>
      <c r="D20" s="6" t="inlineStr">
        <is>
          <t>P1</t>
        </is>
      </c>
      <c r="E20" s="5" t="inlineStr">
        <is>
          <t>已登录客户</t>
        </is>
      </c>
      <c r="F20" s="5" t="inlineStr">
        <is>
          <t>/po/submit</t>
        </is>
      </c>
      <c r="G20" s="5" t="inlineStr">
        <is>
          <t>已登录客户</t>
        </is>
      </c>
      <c r="H20" s="5" t="inlineStr">
        <is>
          <t>1. 点添加行项目，填 PO 号、行项目(产品/数量/单价等，动态多行)
2. PO 号或行项目留空点提交看校验(alert)
3. 填全后提交</t>
        </is>
      </c>
      <c r="I20" s="5" t="inlineStr">
        <is>
          <t>动态增删行项目可用；校验弹 alert 提示；提交成功出现成功提示，PO 进入已提交状态，/po/orders 可见</t>
        </is>
      </c>
      <c r="K20" s="7" t="n"/>
      <c r="L20" s="7" t="n"/>
    </row>
    <row r="21">
      <c r="A21" s="8" t="inlineStr">
        <is>
          <t>E-02</t>
        </is>
      </c>
      <c r="B21" s="8" t="inlineStr">
        <is>
          <t>PO采购门户(客户侧)</t>
        </is>
      </c>
      <c r="C21" s="8" t="inlineStr">
        <is>
          <t>我的采购单列表与详情</t>
        </is>
      </c>
      <c r="D21" s="9" t="inlineStr">
        <is>
          <t>P1</t>
        </is>
      </c>
      <c r="E21" s="8" t="inlineStr">
        <is>
          <t>已登录客户</t>
        </is>
      </c>
      <c r="F21" s="8" t="inlineStr">
        <is>
          <t>/po/orders 及 /po/orders/:id</t>
        </is>
      </c>
      <c r="G21" s="8" t="inlineStr">
        <is>
          <t>已登录客户</t>
        </is>
      </c>
      <c r="H21" s="8" t="inlineStr">
        <is>
          <t>1. 打开 /po/orders，翻页
2. 点某 PO 进详情，查看状态时间线/发票/发货/附件</t>
        </is>
      </c>
      <c r="I21" s="8" t="inlineStr">
        <is>
          <t>列出当前客户自己的 PO；详情展示完整流转信息与状态标签</t>
        </is>
      </c>
      <c r="K21" s="7" t="n"/>
      <c r="L21" s="7" t="n"/>
    </row>
    <row r="22">
      <c r="A22" s="5" t="inlineStr">
        <is>
          <t>E-03</t>
        </is>
      </c>
      <c r="B22" s="5" t="inlineStr">
        <is>
          <t>PO采购门户(客户侧)</t>
        </is>
      </c>
      <c r="C22" s="5" t="inlineStr">
        <is>
          <t>地址簿</t>
        </is>
      </c>
      <c r="D22" s="6" t="inlineStr">
        <is>
          <t>P1</t>
        </is>
      </c>
      <c r="E22" s="5" t="inlineStr">
        <is>
          <t>已登录客户</t>
        </is>
      </c>
      <c r="F22" s="5" t="inlineStr">
        <is>
          <t>/po/addresses</t>
        </is>
      </c>
      <c r="G22" s="5" t="inlineStr">
        <is>
          <t>已登录客户</t>
        </is>
      </c>
      <c r="H22" s="5" t="inlineStr">
        <is>
          <t>1. 点新增地址，填写字段，保存
2. 尝试编辑、删除(删除弹 confirm)</t>
        </is>
      </c>
      <c r="I22" s="5" t="inlineStr">
        <is>
          <t>表单弹层可开关；【已知限制】保存很可能返回错误提示(后端未上线)，记为已知限制；删除有确认框</t>
        </is>
      </c>
      <c r="K22" s="7" t="n"/>
      <c r="L22" s="7" t="n"/>
    </row>
    <row r="23">
      <c r="A23" s="8" t="inlineStr">
        <is>
          <t>E-04</t>
        </is>
      </c>
      <c r="B23" s="8" t="inlineStr">
        <is>
          <t>PO采购门户(客户侧)</t>
        </is>
      </c>
      <c r="C23" s="8" t="inlineStr">
        <is>
          <t>重新下单</t>
        </is>
      </c>
      <c r="D23" s="9" t="inlineStr">
        <is>
          <t>P2</t>
        </is>
      </c>
      <c r="E23" s="8" t="inlineStr">
        <is>
          <t>已登录客户</t>
        </is>
      </c>
      <c r="F23" s="8" t="inlineStr">
        <is>
          <t>/po/reorder</t>
        </is>
      </c>
      <c r="G23" s="8" t="inlineStr">
        <is>
          <t>已登录客户 + 有历史 PO</t>
        </is>
      </c>
      <c r="H23" s="8" t="inlineStr">
        <is>
          <t>打开页面，选择历史 PO 执行重订操作</t>
        </is>
      </c>
      <c r="I23" s="8" t="inlineStr">
        <is>
          <t>能基于历史 PO 复制行项目并生成新采购单草稿/提交(依界面引导)</t>
        </is>
      </c>
      <c r="K23" s="7" t="n"/>
      <c r="L23" s="7" t="n"/>
    </row>
    <row r="24">
      <c r="A24" s="5" t="inlineStr">
        <is>
          <t>E-05</t>
        </is>
      </c>
      <c r="B24" s="5" t="inlineStr">
        <is>
          <t>PO采购门户(客户侧)</t>
        </is>
      </c>
      <c r="C24" s="5" t="inlineStr">
        <is>
          <t>下载中心</t>
        </is>
      </c>
      <c r="D24" s="6" t="inlineStr">
        <is>
          <t>P2</t>
        </is>
      </c>
      <c r="E24" s="5" t="inlineStr">
        <is>
          <t>已登录客户</t>
        </is>
      </c>
      <c r="F24" s="5" t="inlineStr">
        <is>
          <t>/po/downloads</t>
        </is>
      </c>
      <c r="G24" s="5" t="inlineStr">
        <is>
          <t>已登录客户</t>
        </is>
      </c>
      <c r="H24" s="5" t="inlineStr">
        <is>
          <t>打开页面，点击某文档的下载链接</t>
        </is>
      </c>
      <c r="I24" s="5" t="inlineStr">
        <is>
          <t>能列出可下载文档；点击触发下载或打开文件</t>
        </is>
      </c>
      <c r="K24" s="7" t="n"/>
      <c r="L24" s="7" t="n"/>
    </row>
    <row r="25">
      <c r="A25" s="8" t="inlineStr">
        <is>
          <t>F-01</t>
        </is>
      </c>
      <c r="B25" s="8" t="inlineStr">
        <is>
          <t>PO采购门户(内部台)</t>
        </is>
      </c>
      <c r="C25" s="8" t="inlineStr">
        <is>
          <t>订单审核台</t>
        </is>
      </c>
      <c r="D25" s="9" t="inlineStr">
        <is>
          <t>P1</t>
        </is>
      </c>
      <c r="E25" s="8" t="inlineStr">
        <is>
          <t>管理员</t>
        </is>
      </c>
      <c r="F25" s="8" t="inlineStr">
        <is>
          <t>/admin/po/review</t>
        </is>
      </c>
      <c r="G25" s="8" t="inlineStr">
        <is>
          <t>管理员已登录</t>
        </is>
      </c>
      <c r="H25" s="8" t="inlineStr">
        <is>
          <t>1. 打开审核台，查看待审 PO 列表(可分页)
2. 对某 PO 执行通过/驳回/指派负责人</t>
        </is>
      </c>
      <c r="I25" s="8" t="inlineStr">
        <is>
          <t>列表展示待审 PO；审核动作后 PO 状态变化(如已确认)，列表相应更新</t>
        </is>
      </c>
      <c r="K25" s="7" t="n"/>
      <c r="L25" s="7" t="n"/>
    </row>
    <row r="26">
      <c r="A26" s="5" t="inlineStr">
        <is>
          <t>F-02</t>
        </is>
      </c>
      <c r="B26" s="5" t="inlineStr">
        <is>
          <t>PO采购门户(内部台)</t>
        </is>
      </c>
      <c r="C26" s="5" t="inlineStr">
        <is>
          <t>发货台</t>
        </is>
      </c>
      <c r="D26" s="6" t="inlineStr">
        <is>
          <t>P1</t>
        </is>
      </c>
      <c r="E26" s="5" t="inlineStr">
        <is>
          <t>管理员</t>
        </is>
      </c>
      <c r="F26" s="5" t="inlineStr">
        <is>
          <t>/admin/po/shipments</t>
        </is>
      </c>
      <c r="G26" s="5" t="inlineStr">
        <is>
          <t>管理员已登录</t>
        </is>
      </c>
      <c r="H26" s="5" t="inlineStr">
        <is>
          <t>1. 打开发货台，选待发货 PO
2. 创建发货记录(可多批发)，填发货字段(运单号等)
3. 标记已发货/已签收</t>
        </is>
      </c>
      <c r="I26" s="5" t="inlineStr">
        <is>
          <t>发货记录可创建；状态随已发货→已签收推进；时间线更新</t>
        </is>
      </c>
      <c r="K26" s="7" t="n"/>
      <c r="L26" s="7" t="n"/>
    </row>
    <row r="27">
      <c r="A27" s="8" t="inlineStr">
        <is>
          <t>F-03</t>
        </is>
      </c>
      <c r="B27" s="8" t="inlineStr">
        <is>
          <t>PO采购门户(内部台)</t>
        </is>
      </c>
      <c r="C27" s="8" t="inlineStr">
        <is>
          <t>开票台</t>
        </is>
      </c>
      <c r="D27" s="9" t="inlineStr">
        <is>
          <t>P1</t>
        </is>
      </c>
      <c r="E27" s="8" t="inlineStr">
        <is>
          <t>管理员</t>
        </is>
      </c>
      <c r="F27" s="8" t="inlineStr">
        <is>
          <t>/admin/po/invoicing</t>
        </is>
      </c>
      <c r="G27" s="8" t="inlineStr">
        <is>
          <t>管理员已登录(已签收 PO)</t>
        </is>
      </c>
      <c r="H27" s="8" t="inlineStr">
        <is>
          <t>选择已签收 PO，填写开票字段，开票</t>
        </is>
      </c>
      <c r="I27" s="8" t="inlineStr">
        <is>
          <t>仅对已达可开票状态的 PO 可开票；开票后状态推进，客户侧 /po/orders 详情可见发票信息</t>
        </is>
      </c>
      <c r="K27" s="7" t="n"/>
      <c r="L27" s="7" t="n"/>
    </row>
    <row r="28">
      <c r="A28" s="5" t="inlineStr">
        <is>
          <t>F-04</t>
        </is>
      </c>
      <c r="B28" s="5" t="inlineStr">
        <is>
          <t>PO采购门户(内部台)</t>
        </is>
      </c>
      <c r="C28" s="5" t="inlineStr">
        <is>
          <t>AR 账龄报表</t>
        </is>
      </c>
      <c r="D28" s="6" t="inlineStr">
        <is>
          <t>P2</t>
        </is>
      </c>
      <c r="E28" s="5" t="inlineStr">
        <is>
          <t>管理员</t>
        </is>
      </c>
      <c r="F28" s="5" t="inlineStr">
        <is>
          <t>/admin/po/ar</t>
        </is>
      </c>
      <c r="G28" s="5" t="inlineStr">
        <is>
          <t>管理员已登录</t>
        </is>
      </c>
      <c r="H28" s="5" t="inlineStr">
        <is>
          <t>打开报表，查看 30/60/90 天账龄分组</t>
        </is>
      </c>
      <c r="I28" s="5" t="inlineStr">
        <is>
          <t>报表展示各账龄区间应收金额，数据非空或合理空态</t>
        </is>
      </c>
      <c r="K28" s="7" t="n"/>
      <c r="L28" s="7" t="n"/>
    </row>
    <row r="29">
      <c r="A29" s="8" t="inlineStr">
        <is>
          <t>F-05</t>
        </is>
      </c>
      <c r="B29" s="8" t="inlineStr">
        <is>
          <t>PO采购门户(内部台)</t>
        </is>
      </c>
      <c r="C29" s="8" t="inlineStr">
        <is>
          <t>组织管理</t>
        </is>
      </c>
      <c r="D29" s="9" t="inlineStr">
        <is>
          <t>P2</t>
        </is>
      </c>
      <c r="E29" s="8" t="inlineStr">
        <is>
          <t>管理员</t>
        </is>
      </c>
      <c r="F29" s="8" t="inlineStr">
        <is>
          <t>/admin/po/organizations</t>
        </is>
      </c>
      <c r="G29" s="8" t="inlineStr">
        <is>
          <t>管理员已登录</t>
        </is>
      </c>
      <c r="H29" s="8" t="inlineStr">
        <is>
          <t>打开页面，查看组织/地址/订单列表</t>
        </is>
      </c>
      <c r="I29" s="8" t="inlineStr">
        <is>
          <t>列表展示组织及其关联信息，可查看(CRUD 依界面可用按钮)</t>
        </is>
      </c>
      <c r="K29" s="7" t="n"/>
      <c r="L29" s="7" t="n"/>
    </row>
    <row r="30">
      <c r="A30" s="5" t="inlineStr">
        <is>
          <t>F-06</t>
        </is>
      </c>
      <c r="B30" s="5" t="inlineStr">
        <is>
          <t>PO采购门户(内部台)</t>
        </is>
      </c>
      <c r="C30" s="5" t="inlineStr">
        <is>
          <t>权限拦截验证</t>
        </is>
      </c>
      <c r="D30" s="6" t="inlineStr">
        <is>
          <t>P1</t>
        </is>
      </c>
      <c r="E30" s="5" t="inlineStr">
        <is>
          <t>客户</t>
        </is>
      </c>
      <c r="F30" s="5" t="inlineStr">
        <is>
          <t>/admin/po/review, /workspace</t>
        </is>
      </c>
      <c r="G30" s="5" t="inlineStr">
        <is>
          <t>客户已登录</t>
        </is>
      </c>
      <c r="H30" s="5" t="inlineStr">
        <is>
          <t>用客户账号登录，地址栏直接打开 /admin/po/review、/workspace</t>
        </is>
      </c>
      <c r="I30" s="5" t="inlineStr">
        <is>
          <t>被自动跳回首页 /(不显示后台内容)；游客打开则跳 /login?redirect=...</t>
        </is>
      </c>
      <c r="K30" s="7" t="n"/>
      <c r="L30" s="7" t="n"/>
    </row>
    <row r="31">
      <c r="A31" s="8" t="inlineStr">
        <is>
          <t>G-01</t>
        </is>
      </c>
      <c r="B31" s="8" t="inlineStr">
        <is>
          <t>管理员订单管理</t>
        </is>
      </c>
      <c r="C31" s="8" t="inlineStr">
        <is>
          <t>订单管理列表</t>
        </is>
      </c>
      <c r="D31" s="9" t="inlineStr">
        <is>
          <t>P1</t>
        </is>
      </c>
      <c r="E31" s="8" t="inlineStr">
        <is>
          <t>管理员</t>
        </is>
      </c>
      <c r="F31" s="8" t="inlineStr">
        <is>
          <t>/admin/orders</t>
        </is>
      </c>
      <c r="G31" s="8" t="inlineStr">
        <is>
          <t>管理员已登录</t>
        </is>
      </c>
      <c r="H31" s="8" t="inlineStr">
        <is>
          <t>打开页面，用过滤输入筛选，查看列表</t>
        </is>
      </c>
      <c r="I31" s="8" t="inlineStr">
        <is>
          <t>展示全部订单(含各客户)，过滤生效</t>
        </is>
      </c>
      <c r="K31" s="7" t="n"/>
      <c r="L31" s="7" t="n"/>
    </row>
    <row r="32">
      <c r="A32" s="5" t="inlineStr">
        <is>
          <t>G-02</t>
        </is>
      </c>
      <c r="B32" s="5" t="inlineStr">
        <is>
          <t>管理员订单管理</t>
        </is>
      </c>
      <c r="C32" s="5" t="inlineStr">
        <is>
          <t>订单处理详情</t>
        </is>
      </c>
      <c r="D32" s="6" t="inlineStr">
        <is>
          <t>P1</t>
        </is>
      </c>
      <c r="E32" s="5" t="inlineStr">
        <is>
          <t>管理员</t>
        </is>
      </c>
      <c r="F32" s="5" t="inlineStr">
        <is>
          <t>/admin/orders/:id</t>
        </is>
      </c>
      <c r="G32" s="5" t="inlineStr">
        <is>
          <t>管理员已登录</t>
        </is>
      </c>
      <c r="H32" s="5" t="inlineStr">
        <is>
          <t>1. 进某订单详情，看字段与状态流转按钮
2. 填处理字段，执行状态流转(确认/发货/完成)
3. 留意 AI 工具面板按钮</t>
        </is>
      </c>
      <c r="I32" s="5" t="inlineStr">
        <is>
          <t>状态流转后订单状态更新；操作失败有 alert 错误提示；AI 工具按钮调用外部服务，慢/超时为环境依赖非缺陷</t>
        </is>
      </c>
      <c r="K32" s="7" t="n"/>
      <c r="L32" s="7" t="n"/>
    </row>
    <row r="33">
      <c r="A33" s="8" t="inlineStr">
        <is>
          <t>H-01</t>
        </is>
      </c>
      <c r="B33" s="8" t="inlineStr">
        <is>
          <t>Workspace研究后台</t>
        </is>
      </c>
      <c r="C33" s="8" t="inlineStr">
        <is>
          <t>仪表盘</t>
        </is>
      </c>
      <c r="D33" s="9" t="inlineStr">
        <is>
          <t>P1</t>
        </is>
      </c>
      <c r="E33" s="8" t="inlineStr">
        <is>
          <t>管理员</t>
        </is>
      </c>
      <c r="F33" s="8" t="inlineStr">
        <is>
          <t>/workspace(默认 Dashboard)</t>
        </is>
      </c>
      <c r="G33" s="8" t="inlineStr">
        <is>
          <t>管理员已登录</t>
        </is>
      </c>
      <c r="H33" s="8" t="inlineStr">
        <is>
          <t>查看概览卡片、快捷入口；点快捷入口跳转</t>
        </is>
      </c>
      <c r="I33" s="8" t="inlineStr">
        <is>
          <t>卡片显示统计/概览；快捷入口可跳对应管理页；加载时转圈正常</t>
        </is>
      </c>
      <c r="K33" s="7" t="n"/>
      <c r="L33" s="7" t="n"/>
    </row>
    <row r="34">
      <c r="A34" s="5" t="inlineStr">
        <is>
          <t>H-02</t>
        </is>
      </c>
      <c r="B34" s="5" t="inlineStr">
        <is>
          <t>Workspace研究后台</t>
        </is>
      </c>
      <c r="C34" s="5" t="inlineStr">
        <is>
          <t>产品管理列表</t>
        </is>
      </c>
      <c r="D34" s="6" t="inlineStr">
        <is>
          <t>P1</t>
        </is>
      </c>
      <c r="E34" s="5" t="inlineStr">
        <is>
          <t>管理员</t>
        </is>
      </c>
      <c r="F34" s="5" t="inlineStr">
        <is>
          <t>/workspace/products</t>
        </is>
      </c>
      <c r="G34" s="5" t="inlineStr">
        <is>
          <t>管理员已登录</t>
        </is>
      </c>
      <c r="H34" s="5" t="inlineStr">
        <is>
          <t>1. 用过滤栏、翻页、点可排序列标题排序
2. 选中若干产品，点批量关联打开弹层
3. 点某产品归档→确认层；点删除→确认层</t>
        </is>
      </c>
      <c r="I34" s="5" t="inlineStr">
        <is>
          <t>列表可过滤/分页/排序；三弹层(批量关联/归档/删除)可开关；确认类操作有提示</t>
        </is>
      </c>
      <c r="K34" s="7" t="n"/>
      <c r="L34" s="7" t="n"/>
    </row>
    <row r="35">
      <c r="A35" s="8" t="inlineStr">
        <is>
          <t>H-03</t>
        </is>
      </c>
      <c r="B35" s="8" t="inlineStr">
        <is>
          <t>Workspace研究后台</t>
        </is>
      </c>
      <c r="C35" s="8" t="inlineStr">
        <is>
          <t>新建/编辑产品</t>
        </is>
      </c>
      <c r="D35" s="9" t="inlineStr">
        <is>
          <t>P0</t>
        </is>
      </c>
      <c r="E35" s="8" t="inlineStr">
        <is>
          <t>管理员</t>
        </is>
      </c>
      <c r="F35" s="8" t="inlineStr">
        <is>
          <t>/workspace/products/new 及 /:id/edit</t>
        </is>
      </c>
      <c r="G35" s="8" t="inlineStr">
        <is>
          <t>管理员已登录</t>
        </is>
      </c>
      <c r="H35" s="8" t="inlineStr">
        <is>
          <t>1. 点新建产品，填表单(基础/分类/SKU/结构式/文档/上传等约50字段)
2. 必填留空点保存看校验
3. 点 Save Draft 与 Publish
4. Publish 若有确认弹层确认</t>
        </is>
      </c>
      <c r="I35" s="8" t="inlineStr">
        <is>
          <t>字段可填，图片/文件可上传；必填校验生效；Save Draft 存草稿，Publish 发布(确认后状态变)；成功提示；按钮样式 Save Draft 描边、Publish 绿实心、圆角4px</t>
        </is>
      </c>
      <c r="K35" s="7" t="n"/>
      <c r="L35" s="7" t="n"/>
    </row>
    <row r="36">
      <c r="A36" s="5" t="inlineStr">
        <is>
          <t>H-04</t>
        </is>
      </c>
      <c r="B36" s="5" t="inlineStr">
        <is>
          <t>Workspace研究后台</t>
        </is>
      </c>
      <c r="C36" s="5" t="inlineStr">
        <is>
          <t>研究目标管理</t>
        </is>
      </c>
      <c r="D36" s="6" t="inlineStr">
        <is>
          <t>P1</t>
        </is>
      </c>
      <c r="E36" s="5" t="inlineStr">
        <is>
          <t>管理员</t>
        </is>
      </c>
      <c r="F36" s="5" t="inlineStr">
        <is>
          <t>/workspace/goals</t>
        </is>
      </c>
      <c r="G36" s="5" t="inlineStr">
        <is>
          <t>管理员已登录</t>
        </is>
      </c>
      <c r="H36" s="5" t="inlineStr">
        <is>
          <t>点新建，弹层填名称等2字段保存；编辑、删除某条</t>
        </is>
      </c>
      <c r="I36" s="5" t="inlineStr">
        <is>
          <t>增/改弹层可开关；保存有提示；列表更新</t>
        </is>
      </c>
      <c r="K36" s="7" t="n"/>
      <c r="L36" s="7" t="n"/>
    </row>
    <row r="37">
      <c r="A37" s="8" t="inlineStr">
        <is>
          <t>H-05</t>
        </is>
      </c>
      <c r="B37" s="8" t="inlineStr">
        <is>
          <t>Workspace研究后台</t>
        </is>
      </c>
      <c r="C37" s="8" t="inlineStr">
        <is>
          <t>应用管理</t>
        </is>
      </c>
      <c r="D37" s="9" t="inlineStr">
        <is>
          <t>P1</t>
        </is>
      </c>
      <c r="E37" s="8" t="inlineStr">
        <is>
          <t>管理员</t>
        </is>
      </c>
      <c r="F37" s="8" t="inlineStr">
        <is>
          <t>/workspace/applications</t>
        </is>
      </c>
      <c r="G37" s="8" t="inlineStr">
        <is>
          <t>管理员已登录</t>
        </is>
      </c>
      <c r="H37" s="8" t="inlineStr">
        <is>
          <t>同 H-04(含分类下拉 el-select)，新建/编辑/删除</t>
        </is>
      </c>
      <c r="I37" s="8" t="inlineStr">
        <is>
          <t>弹层增改可用；保存失败有错误提示；列表更新</t>
        </is>
      </c>
      <c r="K37" s="7" t="n"/>
      <c r="L37" s="7" t="n"/>
    </row>
    <row r="38">
      <c r="A38" s="5" t="inlineStr">
        <is>
          <t>H-06</t>
        </is>
      </c>
      <c r="B38" s="5" t="inlineStr">
        <is>
          <t>Workspace研究后台</t>
        </is>
      </c>
      <c r="C38" s="5" t="inlineStr">
        <is>
          <t>方法管理</t>
        </is>
      </c>
      <c r="D38" s="6" t="inlineStr">
        <is>
          <t>P1</t>
        </is>
      </c>
      <c r="E38" s="5" t="inlineStr">
        <is>
          <t>管理员</t>
        </is>
      </c>
      <c r="F38" s="5" t="inlineStr">
        <is>
          <t>/workspace/methods</t>
        </is>
      </c>
      <c r="G38" s="5" t="inlineStr">
        <is>
          <t>管理员已登录</t>
        </is>
      </c>
      <c r="H38" s="5" t="inlineStr">
        <is>
          <t>同 H-04(含分类下拉)</t>
        </is>
      </c>
      <c r="I38" s="5" t="inlineStr">
        <is>
          <t>弹层增改可用；保存失败有错误提示；列表更新</t>
        </is>
      </c>
      <c r="K38" s="7" t="n"/>
      <c r="L38" s="7" t="n"/>
    </row>
    <row r="39">
      <c r="A39" s="8" t="inlineStr">
        <is>
          <t>H-07</t>
        </is>
      </c>
      <c r="B39" s="8" t="inlineStr">
        <is>
          <t>Workspace研究后台</t>
        </is>
      </c>
      <c r="C39" s="8" t="inlineStr">
        <is>
          <t>协议管理</t>
        </is>
      </c>
      <c r="D39" s="9" t="inlineStr">
        <is>
          <t>P1</t>
        </is>
      </c>
      <c r="E39" s="8" t="inlineStr">
        <is>
          <t>管理员</t>
        </is>
      </c>
      <c r="F39" s="8" t="inlineStr">
        <is>
          <t>/workspace/protocols</t>
        </is>
      </c>
      <c r="G39" s="8" t="inlineStr">
        <is>
          <t>管理员已登录</t>
        </is>
      </c>
      <c r="H39" s="8" t="inlineStr">
        <is>
          <t>同 H-04(含分类下拉)</t>
        </is>
      </c>
      <c r="I39" s="8" t="inlineStr">
        <is>
          <t>弹层增改可用；保存失败有错误提示；列表更新</t>
        </is>
      </c>
      <c r="K39" s="7" t="n"/>
      <c r="L39" s="7" t="n"/>
    </row>
    <row r="40">
      <c r="A40" s="5" t="inlineStr">
        <is>
          <t>H-08</t>
        </is>
      </c>
      <c r="B40" s="5" t="inlineStr">
        <is>
          <t>Workspace研究后台</t>
        </is>
      </c>
      <c r="C40" s="5" t="inlineStr">
        <is>
          <t>参考文献管理</t>
        </is>
      </c>
      <c r="D40" s="6" t="inlineStr">
        <is>
          <t>P1</t>
        </is>
      </c>
      <c r="E40" s="5" t="inlineStr">
        <is>
          <t>管理员</t>
        </is>
      </c>
      <c r="F40" s="5" t="inlineStr">
        <is>
          <t>/workspace/references</t>
        </is>
      </c>
      <c r="G40" s="5" t="inlineStr">
        <is>
          <t>管理员已登录</t>
        </is>
      </c>
      <c r="H40" s="5" t="inlineStr">
        <is>
          <t>同 H-04(含5字段、证据卡片展示)</t>
        </is>
      </c>
      <c r="I40" s="5" t="inlineStr">
        <is>
          <t>增改弹层可用；证据段可展示</t>
        </is>
      </c>
      <c r="K40" s="7" t="n"/>
      <c r="L40" s="7" t="n"/>
    </row>
    <row r="41">
      <c r="A41" s="8" t="inlineStr">
        <is>
          <t>H-09</t>
        </is>
      </c>
      <c r="B41" s="8" t="inlineStr">
        <is>
          <t>Workspace研究后台</t>
        </is>
      </c>
      <c r="C41" s="8" t="inlineStr">
        <is>
          <t>知识录入</t>
        </is>
      </c>
      <c r="D41" s="9" t="inlineStr">
        <is>
          <t>P1</t>
        </is>
      </c>
      <c r="E41" s="8" t="inlineStr">
        <is>
          <t>管理员</t>
        </is>
      </c>
      <c r="F41" s="8" t="inlineStr">
        <is>
          <t>/workspace/knowledge-intake</t>
        </is>
      </c>
      <c r="G41" s="8" t="inlineStr">
        <is>
          <t>管理员已登录</t>
        </is>
      </c>
      <c r="H41" s="8" t="inlineStr">
        <is>
          <t>填表单(约12字段含产品下拉)提交；尝试复制相似产品</t>
        </is>
      </c>
      <c r="I41" s="8" t="inlineStr">
        <is>
          <t>提交后有成功/错误提示(ki-toast)；表单字段填写生效</t>
        </is>
      </c>
      <c r="K41" s="7" t="n"/>
      <c r="L41" s="7" t="n"/>
    </row>
    <row r="42">
      <c r="A42" s="5" t="inlineStr">
        <is>
          <t>I-01</t>
        </is>
      </c>
      <c r="B42" s="5" t="inlineStr">
        <is>
          <t>全局守卫与跳转</t>
        </is>
      </c>
      <c r="C42" s="5" t="inlineStr">
        <is>
          <t>游客访问受限页拦截</t>
        </is>
      </c>
      <c r="D42" s="6" t="inlineStr">
        <is>
          <t>P0</t>
        </is>
      </c>
      <c r="E42" s="5" t="inlineStr">
        <is>
          <t>游客</t>
        </is>
      </c>
      <c r="F42" s="5" t="inlineStr">
        <is>
          <t>/settings,/checkout,/orders,/po/submit,/workspace,/admin/orders</t>
        </is>
      </c>
      <c r="G42" s="5" t="inlineStr">
        <is>
          <t>游客</t>
        </is>
      </c>
      <c r="H42" s="5" t="inlineStr">
        <is>
          <t>游客直接打开上述受限页</t>
        </is>
      </c>
      <c r="I42" s="5" t="inlineStr">
        <is>
          <t>跳到 /login?redirect=&lt;原路径&gt;(管理员页同样先跳登录)</t>
        </is>
      </c>
      <c r="K42" s="7" t="n"/>
      <c r="L42" s="7" t="n"/>
    </row>
    <row r="43">
      <c r="A43" s="8" t="inlineStr">
        <is>
          <t>I-02</t>
        </is>
      </c>
      <c r="B43" s="8" t="inlineStr">
        <is>
          <t>全局守卫与跳转</t>
        </is>
      </c>
      <c r="C43" s="8" t="inlineStr">
        <is>
          <t>登录回调 redirect</t>
        </is>
      </c>
      <c r="D43" s="9" t="inlineStr">
        <is>
          <t>P0</t>
        </is>
      </c>
      <c r="E43" s="8" t="inlineStr">
        <is>
          <t>游客</t>
        </is>
      </c>
      <c r="F43" s="8" t="inlineStr">
        <is>
          <t>/settings</t>
        </is>
      </c>
      <c r="G43" s="8" t="inlineStr">
        <is>
          <t>游客</t>
        </is>
      </c>
      <c r="H43" s="8" t="inlineStr">
        <is>
          <t>游客开 /settings → 被拦到 /login?redirect=/settings → 用客户登录</t>
        </is>
      </c>
      <c r="I43" s="8" t="inlineStr">
        <is>
          <t>登录后自动跳回 /settings(而非首页)</t>
        </is>
      </c>
      <c r="K43" s="7" t="n"/>
      <c r="L43" s="7" t="n"/>
    </row>
    <row r="44">
      <c r="A44" s="5" t="inlineStr">
        <is>
          <t>I-03</t>
        </is>
      </c>
      <c r="B44" s="5" t="inlineStr">
        <is>
          <t>全局守卫与跳转</t>
        </is>
      </c>
      <c r="C44" s="5" t="inlineStr">
        <is>
          <t>客户访问管理员页拦截</t>
        </is>
      </c>
      <c r="D44" s="6" t="inlineStr">
        <is>
          <t>P1</t>
        </is>
      </c>
      <c r="E44" s="5" t="inlineStr">
        <is>
          <t>客户</t>
        </is>
      </c>
      <c r="F44" s="5" t="inlineStr">
        <is>
          <t>/workspace, /admin/po/review</t>
        </is>
      </c>
      <c r="G44" s="5" t="inlineStr">
        <is>
          <t>客户已登录</t>
        </is>
      </c>
      <c r="H44" s="5" t="inlineStr">
        <is>
          <t>客户登录后打开 /workspace、/admin/po/review</t>
        </is>
      </c>
      <c r="I44" s="5" t="inlineStr">
        <is>
          <t>自动跳回首页 /</t>
        </is>
      </c>
      <c r="K44" s="7" t="n"/>
      <c r="L44" s="7" t="n"/>
    </row>
    <row r="45">
      <c r="A45" s="8" t="inlineStr">
        <is>
          <t>E2E-01</t>
        </is>
      </c>
      <c r="B45" s="8" t="inlineStr">
        <is>
          <t>端到端业务链路</t>
        </is>
      </c>
      <c r="C45" s="8" t="inlineStr">
        <is>
          <t>场景1:游客加购→结算→订单</t>
        </is>
      </c>
      <c r="D45" s="9" t="inlineStr">
        <is>
          <t>P0</t>
        </is>
      </c>
      <c r="E45" s="8" t="inlineStr">
        <is>
          <t>混合</t>
        </is>
      </c>
      <c r="F45" s="8" t="inlineStr">
        <is>
          <t>/products,/cart,/checkout,/orders</t>
        </is>
      </c>
      <c r="G45" s="8" t="inlineStr">
        <is>
          <t>游客 + e2e_customer</t>
        </is>
      </c>
      <c r="H45" s="8" t="inlineStr">
        <is>
          <t>1. 游客开 /products/31 加购2件→角标2
2. 点购物车→/cart→去结算→被拦登录
3. e2e_customer 登录回结算
4. 填收货提交跳详情
5. 开 /orders 确认该订单</t>
        </is>
      </c>
      <c r="I45" s="8" t="inlineStr">
        <is>
          <t>全链路贯通，订单出现，状态时间线正确</t>
        </is>
      </c>
      <c r="K45" s="7" t="n"/>
      <c r="L45" s="7" t="n"/>
    </row>
    <row r="46">
      <c r="A46" s="5" t="inlineStr">
        <is>
          <t>E2E-02</t>
        </is>
      </c>
      <c r="B46" s="5" t="inlineStr">
        <is>
          <t>端到端业务链路</t>
        </is>
      </c>
      <c r="C46" s="5" t="inlineStr">
        <is>
          <t>场景2:PO 全流程</t>
        </is>
      </c>
      <c r="D46" s="6" t="inlineStr">
        <is>
          <t>P1</t>
        </is>
      </c>
      <c r="E46" s="5" t="inlineStr">
        <is>
          <t>混合</t>
        </is>
      </c>
      <c r="F46" s="5" t="inlineStr">
        <is>
          <t>/po/submit,/admin/po/*,/po/orders</t>
        </is>
      </c>
      <c r="G46" s="5" t="inlineStr">
        <is>
          <t>客户 + 管理员</t>
        </is>
      </c>
      <c r="H46" s="5" t="inlineStr">
        <is>
          <t>1. 客户 /po/submit 提交→/po/orders(已提交)
2. 管理员 review 通过
3. shipments 创建发货标记已签收
4. invoicing 开票
5. ar 体现应收
6. 客户详情见发票</t>
        </is>
      </c>
      <c r="I46" s="5" t="inlineStr">
        <is>
          <t>PO 八态贯通(已提交→已确认→已发货→已签收→已开票→AR)</t>
        </is>
      </c>
      <c r="K46" s="7" t="n"/>
      <c r="L46" s="7" t="n"/>
    </row>
    <row r="47">
      <c r="A47" s="8" t="inlineStr">
        <is>
          <t>E2E-03</t>
        </is>
      </c>
      <c r="B47" s="8" t="inlineStr">
        <is>
          <t>端到端业务链路</t>
        </is>
      </c>
      <c r="C47" s="8" t="inlineStr">
        <is>
          <t>场景3:研究员维护知识图谱</t>
        </is>
      </c>
      <c r="D47" s="9" t="inlineStr">
        <is>
          <t>P1</t>
        </is>
      </c>
      <c r="E47" s="8" t="inlineStr">
        <is>
          <t>混合</t>
        </is>
      </c>
      <c r="F47" s="8" t="inlineStr">
        <is>
          <t>/workspace/*</t>
        </is>
      </c>
      <c r="G47" s="8" t="inlineStr">
        <is>
          <t>管理员</t>
        </is>
      </c>
      <c r="H47" s="8" t="inlineStr">
        <is>
          <t>1. 建研究目标→2. 建应用关联目标→3. 建方法关联应用→4. 建协议关联方法→5. 建产品关联方法/协议→6. 公开页确认可见</t>
        </is>
      </c>
      <c r="I47" s="8" t="inlineStr">
        <is>
          <t>新建实体在公开页可见，关联跳转正确</t>
        </is>
      </c>
      <c r="K47" s="7" t="n"/>
      <c r="L47" s="7" t="n"/>
    </row>
  </sheetData>
  <autoFilter ref="A1:L47"/>
  <conditionalFormatting sqref="K2:K47">
    <cfRule type="cellIs" priority="1" operator="equal" dxfId="0">
      <formula>"失败"</formula>
    </cfRule>
    <cfRule type="cellIs" priority="2" operator="equal" dxfId="1">
      <formula>"通过"</formula>
    </cfRule>
    <cfRule type="cellIs" priority="3" operator="equal" dxfId="2">
      <formula>"阻塞"</formula>
    </cfRule>
    <cfRule type="cellIs" priority="4" operator="equal" dxfId="3">
      <formula>"不适用"</formula>
    </cfRule>
  </conditionalFormatting>
  <dataValidations count="1">
    <dataValidation sqref="K2:K47" showDropDown="0" showInputMessage="0" showErrorMessage="1" allowBlank="1" errorTitle="无效状态" error="请从下拉选择：未测/通过/失败/阻塞/不适用" type="list">
      <formula1>"未测,通过,失败,阻塞,不适用"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91C1C"/>
    <outlinePr summaryBelow="1" summaryRight="1"/>
    <pageSetUpPr/>
  </sheetPr>
  <dimension ref="A1:Q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6" customWidth="1" min="4" max="4"/>
    <col width="8" customWidth="1" min="5" max="5"/>
    <col width="9" customWidth="1" min="6" max="6"/>
    <col width="26" customWidth="1" min="7" max="7"/>
    <col width="40" customWidth="1" min="8" max="8"/>
    <col width="34" customWidth="1" min="9" max="9"/>
    <col width="34" customWidth="1" min="10" max="10"/>
    <col width="26" customWidth="1" min="11" max="11"/>
    <col width="30" customWidth="1" min="12" max="12"/>
    <col width="9" customWidth="1" min="13" max="13"/>
    <col width="10" customWidth="1" min="14" max="14"/>
    <col width="10" customWidth="1" min="15" max="15"/>
    <col width="12" customWidth="1" min="16" max="16"/>
    <col width="30" customWidth="1" min="17" max="17"/>
  </cols>
  <sheetData>
    <row r="1">
      <c r="A1" s="4" t="inlineStr">
        <is>
          <t>缺陷ID</t>
        </is>
      </c>
      <c r="B1" s="4" t="inlineStr">
        <is>
          <t>关联用例ID</t>
        </is>
      </c>
      <c r="C1" s="4" t="inlineStr">
        <is>
          <t>报告日期</t>
        </is>
      </c>
      <c r="D1" s="4" t="inlineStr">
        <is>
          <t>模块/页面</t>
        </is>
      </c>
      <c r="E1" s="4" t="inlineStr">
        <is>
          <t>归属</t>
        </is>
      </c>
      <c r="F1" s="4" t="inlineStr">
        <is>
          <t>严重级别</t>
        </is>
      </c>
      <c r="G1" s="4" t="inlineStr">
        <is>
          <t>缺陷标题</t>
        </is>
      </c>
      <c r="H1" s="4" t="inlineStr">
        <is>
          <t>复现步骤</t>
        </is>
      </c>
      <c r="I1" s="4" t="inlineStr">
        <is>
          <t>实际结果</t>
        </is>
      </c>
      <c r="J1" s="4" t="inlineStr">
        <is>
          <t>期望结果</t>
        </is>
      </c>
      <c r="K1" s="4" t="inlineStr">
        <is>
          <t>环境(浏览器/端口/账号)</t>
        </is>
      </c>
      <c r="L1" s="4" t="inlineStr">
        <is>
          <t>证据(截图/控制台报错)</t>
        </is>
      </c>
      <c r="M1" s="4" t="inlineStr">
        <is>
          <t>是否复现</t>
        </is>
      </c>
      <c r="N1" s="4" t="inlineStr">
        <is>
          <t>报告人</t>
        </is>
      </c>
      <c r="O1" s="4" t="inlineStr">
        <is>
          <t>状态</t>
        </is>
      </c>
      <c r="P1" s="4" t="inlineStr">
        <is>
          <t>指派给(开发)</t>
        </is>
      </c>
      <c r="Q1" s="4" t="inlineStr">
        <is>
          <t>备注/定位建议(负责人填)</t>
        </is>
      </c>
    </row>
    <row r="2">
      <c r="A2" s="10" t="inlineStr">
        <is>
          <t>BUG-001</t>
        </is>
      </c>
      <c r="B2" s="10" t="inlineStr">
        <is>
          <t>A-06</t>
        </is>
      </c>
      <c r="C2" s="10" t="inlineStr">
        <is>
          <t>2026-07-11</t>
        </is>
      </c>
      <c r="D2" s="10" t="inlineStr">
        <is>
          <t>/products/31</t>
        </is>
      </c>
      <c r="E2" s="10" t="inlineStr">
        <is>
          <t>前端</t>
        </is>
      </c>
      <c r="F2" s="10" t="inlineStr">
        <is>
          <t>一般</t>
        </is>
      </c>
      <c r="G2" s="10" t="inlineStr">
        <is>
          <t>【示例·测试后请删】加购后角标不更新</t>
        </is>
      </c>
      <c r="H2" s="10" t="inlineStr">
        <is>
          <t>1.游客开/products/31 2.点 Add to Cart</t>
        </is>
      </c>
      <c r="I2" s="10" t="inlineStr">
        <is>
          <t>右上角购物车角标数字未+1，仍为0</t>
        </is>
      </c>
      <c r="J2" s="10" t="inlineStr">
        <is>
          <t>角标应显示加购件数(此处为1)</t>
        </is>
      </c>
      <c r="K2" s="10" t="inlineStr">
        <is>
          <t>前端 localhost:5173 / 后端8000 / Chrome126 / 游客</t>
        </is>
      </c>
      <c r="L2" s="10" t="inlineStr">
        <is>
          <t>console 无报错；截图 product-bug.png</t>
        </is>
      </c>
      <c r="M2" s="10" t="inlineStr">
        <is>
          <t>是</t>
        </is>
      </c>
      <c r="N2" s="10" t="inlineStr">
        <is>
          <t>测试员甲</t>
        </is>
      </c>
      <c r="O2" s="10" t="inlineStr">
        <is>
          <t>示例</t>
        </is>
      </c>
      <c r="P2" s="10" t="inlineStr"/>
      <c r="Q2" s="10" t="inlineStr">
        <is>
          <t>疑似 frontend/src/components/layout/PublicNav.vue 角标绑定</t>
        </is>
      </c>
    </row>
  </sheetData>
  <autoFilter ref="A1:Q200"/>
  <conditionalFormatting sqref="F3:F200">
    <cfRule type="cellIs" priority="1" operator="equal" dxfId="4">
      <formula>"致命"</formula>
    </cfRule>
    <cfRule type="cellIs" priority="2" operator="equal" dxfId="5">
      <formula>"严重"</formula>
    </cfRule>
    <cfRule type="cellIs" priority="3" operator="equal" dxfId="6">
      <formula>"一般"</formula>
    </cfRule>
    <cfRule type="cellIs" priority="4" operator="equal" dxfId="7">
      <formula>"轻微"</formula>
    </cfRule>
    <cfRule type="cellIs" priority="5" operator="equal" dxfId="3">
      <formula>"建议"</formula>
    </cfRule>
  </conditionalFormatting>
  <conditionalFormatting sqref="O3:O200">
    <cfRule type="cellIs" priority="6" operator="equal" dxfId="0">
      <formula>"新建"</formula>
    </cfRule>
    <cfRule type="cellIs" priority="7" operator="equal" dxfId="6">
      <formula>"已确认"</formula>
    </cfRule>
    <cfRule type="cellIs" priority="8" operator="equal" dxfId="7">
      <formula>"修复中"</formula>
    </cfRule>
    <cfRule type="cellIs" priority="9" operator="equal" dxfId="8">
      <formula>"已修复"</formula>
    </cfRule>
    <cfRule type="cellIs" priority="10" operator="equal" dxfId="3">
      <formula>"已关闭"</formula>
    </cfRule>
  </conditionalFormatting>
  <dataValidations count="4">
    <dataValidation sqref="E3:E200" showDropDown="0" showInputMessage="0" showErrorMessage="0" allowBlank="1" type="list">
      <formula1>"前端,后端,未知"</formula1>
    </dataValidation>
    <dataValidation sqref="F3:F200" showDropDown="0" showInputMessage="0" showErrorMessage="0" allowBlank="1" type="list">
      <formula1>"致命,严重,一般,轻微,建议"</formula1>
    </dataValidation>
    <dataValidation sqref="M3:M200" showDropDown="0" showInputMessage="0" showErrorMessage="0" allowBlank="1" type="list">
      <formula1>"是,否,偶发"</formula1>
    </dataValidation>
    <dataValidation sqref="O3:O200" showDropDown="0" showInputMessage="0" showErrorMessage="0" allowBlank="1" type="list">
      <formula1>"新建,已确认,修复中,已修复,已关闭,拒绝,示例"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D4ED8"/>
    <outlinePr summaryBelow="1" summaryRight="1"/>
    <pageSetUpPr/>
  </sheetPr>
  <dimension ref="B1:D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64" customWidth="1" min="4" max="4"/>
  </cols>
  <sheetData>
    <row r="1">
      <c r="B1" s="1" t="inlineStr">
        <is>
          <t>测试执行与缺陷汇总（填表后自动更新）</t>
        </is>
      </c>
    </row>
    <row r="3">
      <c r="B3" s="3" t="inlineStr">
        <is>
          <t>一、用例执行统计</t>
        </is>
      </c>
    </row>
    <row r="4">
      <c r="B4" s="11" t="inlineStr">
        <is>
          <t>总用例数</t>
        </is>
      </c>
      <c r="C4" s="12">
        <f>COUNTA(测试用例!A2:A47)</f>
        <v/>
      </c>
      <c r="D4" s="13" t="inlineStr">
        <is>
          <t>不含表头</t>
        </is>
      </c>
    </row>
    <row r="5">
      <c r="B5" s="11" t="inlineStr">
        <is>
          <t>通过</t>
        </is>
      </c>
      <c r="C5" s="12">
        <f>COUNTIF(测试用例!K2:K47,"通过")</f>
        <v/>
      </c>
    </row>
    <row r="6">
      <c r="B6" s="11" t="inlineStr">
        <is>
          <t>失败</t>
        </is>
      </c>
      <c r="C6" s="12">
        <f>COUNTIF(测试用例!K2:K47,"失败")</f>
        <v/>
      </c>
    </row>
    <row r="7">
      <c r="B7" s="11" t="inlineStr">
        <is>
          <t>阻塞</t>
        </is>
      </c>
      <c r="C7" s="12">
        <f>COUNTIF(测试用例!K2:K47,"阻塞")</f>
        <v/>
      </c>
    </row>
    <row r="8">
      <c r="B8" s="11" t="inlineStr">
        <is>
          <t>不适用</t>
        </is>
      </c>
      <c r="C8" s="12">
        <f>COUNTIF(测试用例!K2:K47,"不适用")</f>
        <v/>
      </c>
    </row>
    <row r="9">
      <c r="B9" s="11" t="inlineStr">
        <is>
          <t>未测</t>
        </is>
      </c>
      <c r="C9" s="12">
        <f>COUNTIF(测试用例!K2:K47,"未测")</f>
        <v/>
      </c>
    </row>
    <row r="10">
      <c r="B10" s="11" t="inlineStr">
        <is>
          <t>执行率</t>
        </is>
      </c>
      <c r="C10" s="12">
        <f>IF(COUNTA(测试用例!A2:A47)=0,0,(COUNTA(测试用例!A2:A47)-COUNTIF(测试用例!K2:K47,"未测"))/COUNTA(测试用例!A2:A47))</f>
        <v/>
      </c>
      <c r="D10" s="13" t="inlineStr">
        <is>
          <t>已执行/总数</t>
        </is>
      </c>
    </row>
    <row r="11">
      <c r="B11" s="11" t="inlineStr">
        <is>
          <t>通过率</t>
        </is>
      </c>
      <c r="C11" s="12">
        <f>IF(COUNTA(测试用例!A2:A47)-COUNTIF(测试用例!K2:K47,"未测")=0,0,COUNTIF(测试用例!K2:K47,"通过")/(COUNTA(测试用例!A2:A47)-COUNTIF(测试用例!K2:K47,"未测")))</f>
        <v/>
      </c>
      <c r="D11" s="13" t="inlineStr">
        <is>
          <t>通过/已执行</t>
        </is>
      </c>
    </row>
    <row r="13">
      <c r="B13" s="3" t="inlineStr">
        <is>
          <t>二、缺陷按严重级别</t>
        </is>
      </c>
    </row>
    <row r="14">
      <c r="B14" s="11" t="inlineStr">
        <is>
          <t>致命</t>
        </is>
      </c>
      <c r="C14" s="12">
        <f>SUMPRODUCT((缺陷记录!F3:F200="致命")*(缺陷记录!O3:O200&lt;&gt;"示例"))</f>
        <v/>
      </c>
    </row>
    <row r="15">
      <c r="B15" s="11" t="inlineStr">
        <is>
          <t>严重</t>
        </is>
      </c>
      <c r="C15" s="12">
        <f>SUMPRODUCT((缺陷记录!F3:F200="严重")*(缺陷记录!O3:O200&lt;&gt;"示例"))</f>
        <v/>
      </c>
    </row>
    <row r="16">
      <c r="B16" s="11" t="inlineStr">
        <is>
          <t>一般</t>
        </is>
      </c>
      <c r="C16" s="12">
        <f>SUMPRODUCT((缺陷记录!F3:F200="一般")*(缺陷记录!O3:O200&lt;&gt;"示例"))</f>
        <v/>
      </c>
    </row>
    <row r="17">
      <c r="B17" s="11" t="inlineStr">
        <is>
          <t>轻微</t>
        </is>
      </c>
      <c r="C17" s="12">
        <f>SUMPRODUCT((缺陷记录!F3:F200="轻微")*(缺陷记录!O3:O200&lt;&gt;"示例"))</f>
        <v/>
      </c>
    </row>
    <row r="18">
      <c r="B18" s="11" t="inlineStr">
        <is>
          <t>建议</t>
        </is>
      </c>
      <c r="C18" s="12">
        <f>SUMPRODUCT((缺陷记录!F3:F200="建议")*(缺陷记录!O3:O200&lt;&gt;"示例"))</f>
        <v/>
      </c>
    </row>
    <row r="19">
      <c r="B19" s="11" t="inlineStr">
        <is>
          <t>缺陷合计</t>
        </is>
      </c>
      <c r="C19" s="12">
        <f>SUMPRODUCT((缺陷记录!F3:F200="致命")*(缺陷记录!O3:O200&lt;&gt;"示例"))+SUMPRODUCT((缺陷记录!F3:F200="严重")*(缺陷记录!O3:O200&lt;&gt;"示例"))+SUMPRODUCT((缺陷记录!F3:F200="一般")*(缺陷记录!O3:O200&lt;&gt;"示例"))+SUMPRODUCT((缺陷记录!F3:F200="轻微")*(缺陷记录!O3:O200&lt;&gt;"示例"))+SUMPRODUCT((缺陷记录!F3:F200="建议")*(缺陷记录!O3:O200&lt;&gt;"示例"))</f>
        <v/>
      </c>
      <c r="D19" s="13" t="inlineStr">
        <is>
          <t>不含示例行</t>
        </is>
      </c>
    </row>
    <row r="21">
      <c r="B21" s="3" t="inlineStr">
        <is>
          <t>三、缺陷按状态</t>
        </is>
      </c>
    </row>
    <row r="22">
      <c r="B22" s="11" t="inlineStr">
        <is>
          <t>新建(待开发处理)</t>
        </is>
      </c>
      <c r="C22" s="12">
        <f>COUNTIF(缺陷记录!O3:O200,"新建")</f>
        <v/>
      </c>
      <c r="D22" s="13" t="inlineStr">
        <is>
          <t>交付开发的核心清单</t>
        </is>
      </c>
    </row>
    <row r="23">
      <c r="B23" s="11" t="inlineStr">
        <is>
          <t>已确认</t>
        </is>
      </c>
      <c r="C23" s="12">
        <f>COUNTIF(缺陷记录!O3:O200,"已确认")</f>
        <v/>
      </c>
    </row>
    <row r="24">
      <c r="B24" s="11" t="inlineStr">
        <is>
          <t>修复中</t>
        </is>
      </c>
      <c r="C24" s="12">
        <f>COUNTIF(缺陷记录!O3:O200,"修复中")</f>
        <v/>
      </c>
    </row>
    <row r="25">
      <c r="B25" s="11" t="inlineStr">
        <is>
          <t>已修复(待回归)</t>
        </is>
      </c>
      <c r="C25" s="12">
        <f>COUNTIF(缺陷记录!O3:O200,"已修复")</f>
        <v/>
      </c>
    </row>
    <row r="26">
      <c r="B26" s="11" t="inlineStr">
        <is>
          <t>已关闭</t>
        </is>
      </c>
      <c r="C26" s="12">
        <f>COUNTIF(缺陷记录!O3:O200,"已关闭")</f>
        <v/>
      </c>
    </row>
    <row r="27">
      <c r="B27" s="11" t="inlineStr">
        <is>
          <t>拒绝</t>
        </is>
      </c>
      <c r="C27" s="12">
        <f>COUNTIF(缺陷记录!O3:O200,"拒绝")</f>
        <v/>
      </c>
    </row>
    <row r="29">
      <c r="B29" s="3" t="inlineStr">
        <is>
          <t>四、交付说明</t>
        </is>
      </c>
    </row>
    <row r="30">
      <c r="B30" s="2" t="inlineStr">
        <is>
          <t>• 测试完成后：在「缺陷记录」筛选 状态=新建 → 即为待开发处理清单。</t>
        </is>
      </c>
    </row>
    <row r="31">
      <c r="B31" s="2" t="inlineStr">
        <is>
          <t>• 点 文件→另存为→类型选 CSV，把缺陷清单直接发给开发（开发按 复现步骤/实际vs期望/归属 定位）。</t>
        </is>
      </c>
    </row>
    <row r="32">
      <c r="B32" s="2" t="inlineStr">
        <is>
          <t>• 开发修复后把 状态 改为 已修复；测试人员在「测试用例」把对应用例改回 通过 并复核。</t>
        </is>
      </c>
    </row>
    <row r="33">
      <c r="B33" s="2" t="inlineStr">
        <is>
          <t>• 「汇总」表所有数字随填表实时变化，无需手动统计。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2026-07-11T14:12:36Z</dcterms:created>
  <dcterms:modified xmlns:dcterms="http://purl.org/dc/terms/" xmlns:xsi="http://www.w3.org/2001/XMLSchema-instance" xsi:type="dcterms:W3CDTF">2026-07-11T14:12:36Z</dcterms:modified>
</cp:coreProperties>
</file>